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0A1628"/>
      <sz val="13"/>
    </font>
    <font>
      <b val="1"/>
      <color rgb="00FFFFFF"/>
    </font>
    <font>
      <b val="1"/>
    </font>
    <font>
      <b val="1"/>
      <color rgb="000A1628"/>
      <sz val="15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6D9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9DFE5"/>
      </left>
      <right style="thin">
        <color rgb="00D9DFE5"/>
      </right>
      <top style="thin">
        <color rgb="00D9DFE5"/>
      </top>
      <bottom style="thin">
        <color rgb="00D9DF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2" fontId="0" fillId="3" borderId="1" pivotButton="0" quotePrefix="0" xfId="0"/>
    <xf numFmtId="3" fontId="0" fillId="3" borderId="1" pivotButton="0" quotePrefix="0" xfId="0"/>
    <xf numFmtId="9" fontId="0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9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DataStaqAI Financial Model — read me</t>
        </is>
      </c>
    </row>
    <row r="3">
      <c r="A3" t="inlineStr">
        <is>
          <t>ILLUSTRATIVE planning case. Edit the yellow cells on 'Assumptions' and the 'Model' sheet recalculates live.</t>
        </is>
      </c>
    </row>
    <row r="4">
      <c r="A4" t="inlineStr">
        <is>
          <t>Default case → Ending recurring ARR ~ $4.8M and total revenue ~ $4.6M by Year 3 (exit run-rate in the $5–10M band).</t>
        </is>
      </c>
    </row>
    <row r="5">
      <c r="A5" t="inlineStr">
        <is>
          <t>$5–10M is sensitive to THREE levers: new logos x landing ACV x NRR. Two routes get there:</t>
        </is>
      </c>
    </row>
    <row r="6">
      <c r="A6" t="inlineStr">
        <is>
          <t xml:space="preserve">   (a) volume route: ~90–95 logos at $40k landing + 35% NRR (the default), or</t>
        </is>
      </c>
    </row>
    <row r="7">
      <c r="A7" t="inlineStr">
        <is>
          <t xml:space="preserve">   (b) expansion route: ~50 logos at $40k landing + ~50% NRR (fewer logos, higher net retention).</t>
        </is>
      </c>
    </row>
    <row r="8">
      <c r="A8" t="inlineStr">
        <is>
          <t>Gross margin ramps 52%→70% as the reusable agent/connector library matures (the services-to-software trajectory).</t>
        </is>
      </c>
    </row>
    <row r="9">
      <c r="A9" t="inlineStr">
        <is>
          <t>COGS is captured inside gross margin %; headcount is shown for revenue/head sanity, not double-counted in EBITDA.</t>
        </is>
      </c>
    </row>
    <row r="10">
      <c r="A10" t="inlineStr">
        <is>
          <t>All figures are a model, not a forecast — replace with real win/loss, cost-to-serve and cohort data before external use.</t>
        </is>
      </c>
    </row>
    <row r="11">
      <c r="A11" t="inlineStr">
        <is>
          <t>Companion to 'The Agentic Enterprise' deck + report + competitor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8" customWidth="1" min="4" max="4"/>
  </cols>
  <sheetData>
    <row r="1">
      <c r="A1" s="2" t="inlineStr">
        <is>
          <t>DataStaqAI — Financial Model · Assumptions (edit yellow cells; Model recalculates)</t>
        </is>
      </c>
    </row>
    <row r="3">
      <c r="A3" s="3" t="inlineStr">
        <is>
          <t>Key</t>
        </is>
      </c>
      <c r="B3" s="3" t="inlineStr">
        <is>
          <t>Driver</t>
        </is>
      </c>
      <c r="C3" s="3" t="inlineStr">
        <is>
          <t>Value</t>
        </is>
      </c>
      <c r="D3" s="3" t="inlineStr">
        <is>
          <t>Unit</t>
        </is>
      </c>
    </row>
    <row r="4">
      <c r="A4" t="inlineStr">
        <is>
          <t>NRR_annual</t>
        </is>
      </c>
      <c r="B4" t="inlineStr">
        <is>
          <t>Net revenue retention (annual)</t>
        </is>
      </c>
      <c r="C4" s="4" t="n">
        <v>1.35</v>
      </c>
      <c r="D4" t="inlineStr">
        <is>
          <t>x</t>
        </is>
      </c>
    </row>
    <row r="5">
      <c r="A5" t="inlineStr">
        <is>
          <t>Landing_ACV</t>
        </is>
      </c>
      <c r="B5" t="inlineStr">
        <is>
          <t>Avg landing ACV (recurring, $/yr)</t>
        </is>
      </c>
      <c r="C5" s="5" t="n">
        <v>40000</v>
      </c>
      <c r="D5" t="inlineStr">
        <is>
          <t>$</t>
        </is>
      </c>
    </row>
    <row r="6">
      <c r="A6" t="inlineStr">
        <is>
          <t>GM_Y1</t>
        </is>
      </c>
      <c r="B6" t="inlineStr">
        <is>
          <t>Gross margin — Year 1</t>
        </is>
      </c>
      <c r="C6" s="6" t="n">
        <v>0.52</v>
      </c>
      <c r="D6" t="inlineStr">
        <is>
          <t>%</t>
        </is>
      </c>
    </row>
    <row r="7">
      <c r="A7" t="inlineStr">
        <is>
          <t>GM_Y2</t>
        </is>
      </c>
      <c r="B7" t="inlineStr">
        <is>
          <t>Gross margin — Year 2</t>
        </is>
      </c>
      <c r="C7" s="6" t="n">
        <v>0.62</v>
      </c>
      <c r="D7" t="inlineStr">
        <is>
          <t>%</t>
        </is>
      </c>
    </row>
    <row r="8">
      <c r="A8" t="inlineStr">
        <is>
          <t>GM_Y3</t>
        </is>
      </c>
      <c r="B8" t="inlineStr">
        <is>
          <t>Gross margin — Year 3</t>
        </is>
      </c>
      <c r="C8" s="6" t="n">
        <v>0.7</v>
      </c>
      <c r="D8" t="inlineStr">
        <is>
          <t>%</t>
        </is>
      </c>
    </row>
    <row r="9">
      <c r="A9" t="inlineStr">
        <is>
          <t>Logos_Y1</t>
        </is>
      </c>
      <c r="B9" t="inlineStr">
        <is>
          <t>New logos — Year 1</t>
        </is>
      </c>
      <c r="C9" s="7" t="n">
        <v>15</v>
      </c>
      <c r="D9" t="inlineStr">
        <is>
          <t>#</t>
        </is>
      </c>
    </row>
    <row r="10">
      <c r="A10" t="inlineStr">
        <is>
          <t>Logos_Y2</t>
        </is>
      </c>
      <c r="B10" t="inlineStr">
        <is>
          <t>New logos — Year 2</t>
        </is>
      </c>
      <c r="C10" s="7" t="n">
        <v>35</v>
      </c>
      <c r="D10" t="inlineStr">
        <is>
          <t>#</t>
        </is>
      </c>
    </row>
    <row r="11">
      <c r="A11" t="inlineStr">
        <is>
          <t>Logos_Y3</t>
        </is>
      </c>
      <c r="B11" t="inlineStr">
        <is>
          <t>New logos — Year 3</t>
        </is>
      </c>
      <c r="C11" s="7" t="n">
        <v>45</v>
      </c>
      <c r="D11" t="inlineStr">
        <is>
          <t>#</t>
        </is>
      </c>
    </row>
    <row r="12">
      <c r="A12" t="inlineStr">
        <is>
          <t>Build_fee</t>
        </is>
      </c>
      <c r="B12" t="inlineStr">
        <is>
          <t>Avg BUILD project fee ($)</t>
        </is>
      </c>
      <c r="C12" s="5" t="n">
        <v>80000</v>
      </c>
      <c r="D12" t="inlineStr">
        <is>
          <t>$</t>
        </is>
      </c>
    </row>
    <row r="13">
      <c r="A13" t="inlineStr">
        <is>
          <t>Build_Y1</t>
        </is>
      </c>
      <c r="B13" t="inlineStr">
        <is>
          <t>BUILD projects — Year 1</t>
        </is>
      </c>
      <c r="C13" s="7" t="n">
        <v>5</v>
      </c>
      <c r="D13" t="inlineStr">
        <is>
          <t>#</t>
        </is>
      </c>
    </row>
    <row r="14">
      <c r="A14" t="inlineStr">
        <is>
          <t>Build_Y2</t>
        </is>
      </c>
      <c r="B14" t="inlineStr">
        <is>
          <t>BUILD projects — Year 2</t>
        </is>
      </c>
      <c r="C14" s="7" t="n">
        <v>10</v>
      </c>
      <c r="D14" t="inlineStr">
        <is>
          <t>#</t>
        </is>
      </c>
    </row>
    <row r="15">
      <c r="A15" t="inlineStr">
        <is>
          <t>Build_Y3</t>
        </is>
      </c>
      <c r="B15" t="inlineStr">
        <is>
          <t>BUILD projects — Year 3</t>
        </is>
      </c>
      <c r="C15" s="7" t="n">
        <v>14</v>
      </c>
      <c r="D15" t="inlineStr">
        <is>
          <t>#</t>
        </is>
      </c>
    </row>
    <row r="16">
      <c r="A16" t="inlineStr">
        <is>
          <t>Accts_per_pod</t>
        </is>
      </c>
      <c r="B16" t="inlineStr">
        <is>
          <t>Accounts per delivery pod</t>
        </is>
      </c>
      <c r="C16" s="7" t="n">
        <v>8</v>
      </c>
      <c r="D16" t="inlineStr">
        <is>
          <t>#</t>
        </is>
      </c>
    </row>
    <row r="17">
      <c r="A17" t="inlineStr">
        <is>
          <t>People_per_pod</t>
        </is>
      </c>
      <c r="B17" t="inlineStr">
        <is>
          <t>People per pod</t>
        </is>
      </c>
      <c r="C17" s="7" t="n">
        <v>2</v>
      </c>
      <c r="D17" t="inlineStr">
        <is>
          <t>#</t>
        </is>
      </c>
    </row>
    <row r="18">
      <c r="A18" t="inlineStr">
        <is>
          <t>Loaded_cost</t>
        </is>
      </c>
      <c r="B18" t="inlineStr">
        <is>
          <t>Fully-loaded cost / person ($)</t>
        </is>
      </c>
      <c r="C18" s="5" t="n">
        <v>160000</v>
      </c>
      <c r="D18" t="inlineStr">
        <is>
          <t>$</t>
        </is>
      </c>
    </row>
    <row r="19">
      <c r="A19" t="inlineStr">
        <is>
          <t>Overhead_Y1</t>
        </is>
      </c>
      <c r="B19" t="inlineStr">
        <is>
          <t>Non-pod headcount — Y1</t>
        </is>
      </c>
      <c r="C19" s="7" t="n">
        <v>3</v>
      </c>
      <c r="D19" t="inlineStr">
        <is>
          <t>#</t>
        </is>
      </c>
    </row>
    <row r="20">
      <c r="A20" t="inlineStr">
        <is>
          <t>Overhead_Y2</t>
        </is>
      </c>
      <c r="B20" t="inlineStr">
        <is>
          <t>Non-pod headcount — Y2</t>
        </is>
      </c>
      <c r="C20" s="7" t="n">
        <v>4</v>
      </c>
      <c r="D20" t="inlineStr">
        <is>
          <t>#</t>
        </is>
      </c>
    </row>
    <row r="21">
      <c r="A21" t="inlineStr">
        <is>
          <t>Overhead_Y3</t>
        </is>
      </c>
      <c r="B21" t="inlineStr">
        <is>
          <t>Non-pod headcount — Y3</t>
        </is>
      </c>
      <c r="C21" s="7" t="n">
        <v>5</v>
      </c>
      <c r="D21" t="inlineStr">
        <is>
          <t>#</t>
        </is>
      </c>
    </row>
    <row r="22">
      <c r="A22" t="inlineStr">
        <is>
          <t>CAC</t>
        </is>
      </c>
      <c r="B22" t="inlineStr">
        <is>
          <t>Cash CAC per new logo ($)</t>
        </is>
      </c>
      <c r="C22" s="5" t="n">
        <v>8000</v>
      </c>
      <c r="D22" t="inlineStr">
        <is>
          <t>$</t>
        </is>
      </c>
    </row>
    <row r="23">
      <c r="A23" t="inlineStr">
        <is>
          <t>Opex_pct</t>
        </is>
      </c>
      <c r="B23" t="inlineStr">
        <is>
          <t>Opex (S&amp;M+G&amp;A) as % of revenue</t>
        </is>
      </c>
      <c r="C23" s="6" t="n">
        <v>0.3</v>
      </c>
      <c r="D23" t="inlineStr">
        <is>
          <t>%</t>
        </is>
      </c>
    </row>
    <row r="24">
      <c r="A24" t="inlineStr">
        <is>
          <t>Avg_life_yrs</t>
        </is>
      </c>
      <c r="B24" t="inlineStr">
        <is>
          <t>Avg customer life (yrs, for LTV)</t>
        </is>
      </c>
      <c r="C24" s="7" t="n">
        <v>4</v>
      </c>
      <c r="D24" t="inlineStr">
        <is>
          <t>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3-Year P&amp;L &amp; SaaS metrics (driver-based; edit Assumptions to recalc)</t>
        </is>
      </c>
    </row>
    <row r="3">
      <c r="A3" s="3" t="inlineStr">
        <is>
          <t>Line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</row>
    <row r="4">
      <c r="A4" s="8" t="inlineStr">
        <is>
          <t>New logos</t>
        </is>
      </c>
      <c r="B4" s="9">
        <f>Assumptions!$C$9</f>
        <v/>
      </c>
      <c r="C4" s="9">
        <f>Assumptions!$C$10</f>
        <v/>
      </c>
      <c r="D4" s="9">
        <f>Assumptions!$C$11</f>
        <v/>
      </c>
    </row>
    <row r="5">
      <c r="A5" s="8" t="inlineStr">
        <is>
          <t>Cumulative logos</t>
        </is>
      </c>
      <c r="B5" s="9">
        <f>B4</f>
        <v/>
      </c>
      <c r="C5" s="9">
        <f>B5+C4</f>
        <v/>
      </c>
      <c r="D5" s="9">
        <f>C5+D4</f>
        <v/>
      </c>
    </row>
    <row r="6">
      <c r="A6" s="8" t="inlineStr">
        <is>
          <t>New recurring ARR ($)</t>
        </is>
      </c>
      <c r="B6" s="10">
        <f>B4*Assumptions!$C$5</f>
        <v/>
      </c>
      <c r="C6" s="10">
        <f>C4*Assumptions!$C$5</f>
        <v/>
      </c>
      <c r="D6" s="10">
        <f>D4*Assumptions!$C$5</f>
        <v/>
      </c>
    </row>
    <row r="7">
      <c r="A7" s="8" t="inlineStr">
        <is>
          <t>Beginning recurring ARR ($)</t>
        </is>
      </c>
      <c r="B7" s="10">
        <f>0</f>
        <v/>
      </c>
      <c r="C7" s="10">
        <f>B9</f>
        <v/>
      </c>
      <c r="D7" s="10">
        <f>C9</f>
        <v/>
      </c>
    </row>
    <row r="8">
      <c r="A8" s="8" t="inlineStr">
        <is>
          <t>Expansion ARR ($)</t>
        </is>
      </c>
      <c r="B8" s="10">
        <f>B7*(Assumptions!$C$4-1)</f>
        <v/>
      </c>
      <c r="C8" s="10">
        <f>C7*(Assumptions!$C$4-1)</f>
        <v/>
      </c>
      <c r="D8" s="10">
        <f>D7*(Assumptions!$C$4-1)</f>
        <v/>
      </c>
    </row>
    <row r="9">
      <c r="A9" s="11" t="inlineStr">
        <is>
          <t>Ending recurring ARR ($)</t>
        </is>
      </c>
      <c r="B9" s="12">
        <f>B7+B6+B8</f>
        <v/>
      </c>
      <c r="C9" s="12">
        <f>C7+C6+C8</f>
        <v/>
      </c>
      <c r="D9" s="12">
        <f>D7+D6+D8</f>
        <v/>
      </c>
    </row>
    <row r="10">
      <c r="A10" s="8" t="inlineStr">
        <is>
          <t>Recurring revenue (recognized, $)</t>
        </is>
      </c>
      <c r="B10" s="10">
        <f>(B7+B9)/2</f>
        <v/>
      </c>
      <c r="C10" s="10">
        <f>(C7+C9)/2</f>
        <v/>
      </c>
      <c r="D10" s="10">
        <f>(D7+D9)/2</f>
        <v/>
      </c>
    </row>
    <row r="11">
      <c r="A11" s="8" t="inlineStr">
        <is>
          <t>BUILD revenue ($)</t>
        </is>
      </c>
      <c r="B11" s="10">
        <f>Assumptions!$C$13*Assumptions!$C$12</f>
        <v/>
      </c>
      <c r="C11" s="10">
        <f>Assumptions!$C$14*Assumptions!$C$12</f>
        <v/>
      </c>
      <c r="D11" s="10">
        <f>Assumptions!$C$15*Assumptions!$C$12</f>
        <v/>
      </c>
    </row>
    <row r="12">
      <c r="A12" s="11" t="inlineStr">
        <is>
          <t>Total revenue ($)</t>
        </is>
      </c>
      <c r="B12" s="12">
        <f>B10+B11</f>
        <v/>
      </c>
      <c r="C12" s="12">
        <f>C10+C11</f>
        <v/>
      </c>
      <c r="D12" s="12">
        <f>D10+D11</f>
        <v/>
      </c>
    </row>
    <row r="13">
      <c r="A13" s="8" t="inlineStr">
        <is>
          <t>Gross margin %</t>
        </is>
      </c>
      <c r="B13" s="13">
        <f>Assumptions!$C$6</f>
        <v/>
      </c>
      <c r="C13" s="13">
        <f>Assumptions!$C$7</f>
        <v/>
      </c>
      <c r="D13" s="13">
        <f>Assumptions!$C$8</f>
        <v/>
      </c>
    </row>
    <row r="14">
      <c r="A14" s="8" t="inlineStr">
        <is>
          <t>Gross profit ($)</t>
        </is>
      </c>
      <c r="B14" s="10">
        <f>B12*B13</f>
        <v/>
      </c>
      <c r="C14" s="10">
        <f>C12*C13</f>
        <v/>
      </c>
      <c r="D14" s="10">
        <f>D12*D13</f>
        <v/>
      </c>
    </row>
    <row r="15">
      <c r="A15" s="8" t="inlineStr">
        <is>
          <t>Opex S&amp;M+G&amp;A ($)</t>
        </is>
      </c>
      <c r="B15" s="10">
        <f>B12*Assumptions!$C$23</f>
        <v/>
      </c>
      <c r="C15" s="10">
        <f>C12*Assumptions!$C$23</f>
        <v/>
      </c>
      <c r="D15" s="10">
        <f>D12*Assumptions!$C$23</f>
        <v/>
      </c>
    </row>
    <row r="16">
      <c r="A16" s="11" t="inlineStr">
        <is>
          <t>EBITDA ($)</t>
        </is>
      </c>
      <c r="B16" s="12">
        <f>B14-B15</f>
        <v/>
      </c>
      <c r="C16" s="12">
        <f>C14-C15</f>
        <v/>
      </c>
      <c r="D16" s="12">
        <f>D14-D15</f>
        <v/>
      </c>
    </row>
    <row r="17">
      <c r="A17" s="8" t="inlineStr">
        <is>
          <t>Delivery pods</t>
        </is>
      </c>
      <c r="B17" s="9">
        <f>ROUNDUP(B5/Assumptions!$C$16,0)</f>
        <v/>
      </c>
      <c r="C17" s="9">
        <f>ROUNDUP(C5/Assumptions!$C$16,0)</f>
        <v/>
      </c>
      <c r="D17" s="9">
        <f>ROUNDUP(D5/Assumptions!$C$16,0)</f>
        <v/>
      </c>
    </row>
    <row r="18">
      <c r="A18" s="8" t="inlineStr">
        <is>
          <t>Total headcount</t>
        </is>
      </c>
      <c r="B18" s="9">
        <f>B17*Assumptions!$C$17+Assumptions!$C$19</f>
        <v/>
      </c>
      <c r="C18" s="9">
        <f>C17*Assumptions!$C$17+Assumptions!$C$20</f>
        <v/>
      </c>
      <c r="D18" s="9">
        <f>D17*Assumptions!$C$17+Assumptions!$C$21</f>
        <v/>
      </c>
    </row>
    <row r="19">
      <c r="A19" s="8" t="inlineStr">
        <is>
          <t>Revenue / head ($)</t>
        </is>
      </c>
      <c r="B19" s="10">
        <f>B12/B18</f>
        <v/>
      </c>
      <c r="C19" s="10">
        <f>C12/C18</f>
        <v/>
      </c>
      <c r="D19" s="10">
        <f>D12/D18</f>
        <v/>
      </c>
    </row>
    <row r="20">
      <c r="A20" s="8" t="inlineStr">
        <is>
          <t>CAC payback (months)</t>
        </is>
      </c>
      <c r="B20" s="14">
        <f>Assumptions!$C$22/((Assumptions!$C$5*B13)/12)</f>
        <v/>
      </c>
      <c r="C20" s="14">
        <f>Assumptions!$C$22/((Assumptions!$C$5*C13)/12)</f>
        <v/>
      </c>
      <c r="D20" s="14">
        <f>Assumptions!$C$22/((Assumptions!$C$5*D13)/12)</f>
        <v/>
      </c>
    </row>
    <row r="21">
      <c r="A21" s="8" t="inlineStr">
        <is>
          <t>LTV / CAC (x)</t>
        </is>
      </c>
      <c r="B21" s="14">
        <f>(Assumptions!$C$5*B13*Assumptions!$C$24)/Assumptions!$C$22</f>
        <v/>
      </c>
      <c r="C21" s="14">
        <f>(Assumptions!$C$5*C13*Assumptions!$C$24)/Assumptions!$C$22</f>
        <v/>
      </c>
      <c r="D21" s="14">
        <f>(Assumptions!$C$5*D13*Assumptions!$C$24)/Assumptions!$C$22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2026-06-26T17:07:37Z</dcterms:created>
  <dcterms:modified xmlns:dcterms="http://purl.org/dc/terms/" xmlns:xsi="http://www.w3.org/2001/XMLSchema-instance" xsi:type="dcterms:W3CDTF">2026-06-26T17:07:38Z</dcterms:modified>
</cp:coreProperties>
</file>